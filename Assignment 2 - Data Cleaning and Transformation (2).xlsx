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ENTRIE Assign\ASS 2\"/>
    </mc:Choice>
  </mc:AlternateContent>
  <xr:revisionPtr revIDLastSave="0" documentId="13_ncr:1_{5F245B40-B1FA-46E9-94F7-DE6BB5D7BD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2" l="1" a="1"/>
  <c r="L3" i="2" a="1"/>
  <c r="K3" i="2" a="1"/>
  <c r="H45" i="2" a="1"/>
  <c r="F43" i="2" a="1"/>
  <c r="D41" i="2" a="1"/>
  <c r="B41" i="2" a="1"/>
  <c r="B38" i="2"/>
  <c r="I9" i="2" a="1"/>
  <c r="H6" i="2" a="1"/>
  <c r="H4" i="2"/>
  <c r="H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<sst xmlns="http://schemas.openxmlformats.org/spreadsheetml/2006/main" count="163" uniqueCount="122">
  <si>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</si>
  <si>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</si>
  <si>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</si>
  <si>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</si>
  <si>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</si>
  <si>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</si>
  <si>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</si>
  <si>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</si>
  <si>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</si>
  <si>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</si>
  <si>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</si>
  <si>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</si>
  <si>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</si>
  <si>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</si>
  <si>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</si>
  <si>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</si>
  <si>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</si>
  <si>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</si>
  <si>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</si>
  <si>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</si>
  <si>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</si>
  <si>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</si>
  <si>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</si>
  <si>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</si>
  <si>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</si>
  <si>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</si>
  <si>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</si>
  <si>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</si>
  <si>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</si>
  <si>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</si>
  <si>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</si>
  <si>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</si>
  <si>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</si>
  <si>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</si>
  <si>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</si>
  <si>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</si>
  <si>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</si>
  <si>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</si>
  <si>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</si>
  <si>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</si>
  <si>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</si>
  <si>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</si>
  <si>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</si>
  <si>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</si>
  <si>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</si>
  <si>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</si>
  <si>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</si>
  <si>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</si>
  <si>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</si>
  <si>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</si>
  <si>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</si>
  <si>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</si>
  <si>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</si>
  <si>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</si>
  <si>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</si>
  <si>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</si>
  <si>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</si>
  <si>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</si>
  <si>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</si>
  <si>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</si>
  <si>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</si>
  <si>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</si>
  <si>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</si>
  <si>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</si>
  <si>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</si>
  <si>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</si>
  <si>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</si>
  <si>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</si>
  <si>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</si>
  <si>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</si>
  <si>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</si>
  <si>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</si>
  <si>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</si>
  <si>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</si>
  <si>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</si>
  <si>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</si>
  <si>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</si>
  <si>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</si>
  <si>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</si>
  <si>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</si>
  <si>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</si>
  <si>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</si>
  <si>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</si>
  <si>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</si>
  <si>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</si>
  <si>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</si>
  <si>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</si>
  <si>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</si>
  <si>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</si>
  <si>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</si>
  <si>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</si>
  <si>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</si>
  <si>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</si>
  <si>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</si>
  <si>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</si>
  <si>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</si>
  <si>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</si>
  <si>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Handling Missing Values:</t>
  </si>
  <si>
    <t>COUNTBLANK(D2:D35)</t>
  </si>
  <si>
    <t>COUNTBLANK(F2:F35)</t>
  </si>
  <si>
    <t>2. Correcting Inconsistent Data:</t>
  </si>
  <si>
    <t>PROPER(B2:B35)</t>
  </si>
  <si>
    <t>2. THE PRODUCT NAME</t>
  </si>
  <si>
    <t>IF(F2:F35="Electroni","Electronics",F2:F35)</t>
  </si>
  <si>
    <t>3. Removing Duplicates:</t>
  </si>
  <si>
    <t>COUNTIFS(A:A,A2,B:B,B2,C:C,C2,D:D,D2,E:E,E2,F:F,F2)</t>
  </si>
  <si>
    <t>4. Splitting and Merging Data</t>
  </si>
  <si>
    <t>Manufacturing Date – Day:</t>
  </si>
  <si>
    <t>LEFT(A2:A35)</t>
  </si>
  <si>
    <t>4.Manufacturing Date - Month</t>
  </si>
  <si>
    <t>MID(A2:A35,4,3)</t>
  </si>
  <si>
    <t>4.Country Code</t>
  </si>
  <si>
    <t>RIGHT(A2:A35,2)</t>
  </si>
  <si>
    <t>4.Brand Name + Product Name merge</t>
  </si>
  <si>
    <t>C2:C35&amp;" "&amp;B2:B35</t>
  </si>
  <si>
    <t>5. Number Formatting:</t>
  </si>
  <si>
    <t>TEXT(D2:D35,"$#,##0.00")</t>
  </si>
  <si>
    <t>5.Manufacturing Date</t>
  </si>
  <si>
    <t>TEXT(A2:A35,"DD-MM-YYYY")</t>
  </si>
  <si>
    <t>6. Conditional Formatting</t>
  </si>
  <si>
    <t>F2:F35="Electronics"</t>
  </si>
  <si>
    <t>2ND QUES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</si>
</sst>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2"/>
      <color theme="1"/>
      <name val="Times New Roman"/>
      <charset val="134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  <font>
      <b/>
      <u/>
      <sz val="12"/>
      <color rgb="FFFF0000"/>
      <name val="Times New Roman"/>
      <family val="1"/>
    </font>
    <font>
      <b/>
      <sz val="10"/>
      <color rgb="FF7030A0"/>
      <name val="Arial"/>
      <family val="2"/>
      <scheme val="minor"/>
    </font>
    <font>
      <sz val="9"/>
      <color rgb="FF000000"/>
      <name val="Arial Black"/>
      <family val="2"/>
    </font>
    <font>
      <sz val="10"/>
      <color rgb="FF000000"/>
      <name val="Aptos Black"/>
      <family val="2"/>
    </font>
    <font>
      <sz val="9"/>
      <color rgb="FF000000"/>
      <name val="Aptos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5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6" fillId="5" borderId="0" xfId="0" applyFont="1" applyFill="1"/>
    <xf numFmtId="0" fontId="7" fillId="4" borderId="0" xfId="0" applyFont="1" applyFill="1"/>
    <xf numFmtId="0" fontId="8" fillId="4" borderId="0" xfId="0" applyFont="1" applyFill="1"/>
    <xf numFmtId="0" fontId="6" fillId="4" borderId="0" xfId="0" applyFont="1" applyFill="1" applyAlignment="1">
      <alignment horizontal="right"/>
    </xf>
    <xf numFmtId="0" fontId="6" fillId="6" borderId="0" xfId="0" applyFont="1" applyFill="1"/>
    <xf numFmtId="0" fontId="6" fillId="4" borderId="0" xfId="0" applyFont="1" applyFill="1"/>
    <xf numFmtId="0" fontId="9" fillId="7" borderId="0" xfId="0" applyFont="1" applyFill="1" applyAlignment="1">
      <alignment vertical="center"/>
    </xf>
    <xf numFmtId="0" fontId="9" fillId="7" borderId="0" xfId="0" applyFont="1" applyFill="1"/>
    <xf numFmtId="0" fontId="10" fillId="4" borderId="0" xfId="0" applyFont="1" applyFill="1"/>
    <xf numFmtId="0" fontId="11" fillId="5" borderId="0" xfId="0" applyFont="1" applyFill="1"/>
    <xf numFmtId="0" fontId="12" fillId="5" borderId="0" xfId="0" applyFont="1" applyFill="1"/>
    <xf numFmtId="0" fontId="11" fillId="6" borderId="0" xfId="0" applyFont="1" applyFill="1" applyAlignment="1">
      <alignment horizontal="center"/>
    </xf>
    <xf numFmtId="0" fontId="11" fillId="4" borderId="0" xfId="0" applyFont="1" applyFill="1"/>
    <xf numFmtId="0" fontId="11" fillId="6" borderId="0" xfId="0" applyFont="1" applyFill="1"/>
    <xf numFmtId="0" fontId="11" fillId="7" borderId="0" xfId="0" applyFont="1" applyFill="1"/>
    <xf numFmtId="0" fontId="11" fillId="4" borderId="0" xfId="0" applyFont="1" applyFill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topLeftCell="A36" zoomScale="45" workbookViewId="0">
      <selection activeCell="N46" sqref="N46"/>
    </sheetView>
  </sheetViews>
  <sheetFormatPr defaultColWidth="12.6328125" defaultRowHeight="15" customHeight="1"/>
  <cols>
    <col min="1" max="6" width="12.6328125" customWidth="1"/>
    <col min="8" max="8" width="25.90625" customWidth="1"/>
    <col min="9" max="9" width="30.08984375" customWidth="1"/>
    <col min="10" max="10" width="35" customWidth="1"/>
    <col min="11" max="11" width="22.26953125" customWidth="1"/>
    <col min="12" max="12" width="19.81640625" customWidth="1"/>
    <col min="13" max="13" width="25.36328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H2" s="30" t="s">
        <v>97</v>
      </c>
      <c r="I2" s="23" t="s">
        <v>99</v>
      </c>
      <c r="J2" s="25" t="s">
        <v>116</v>
      </c>
      <c r="K2" s="34" t="s">
        <v>115</v>
      </c>
      <c r="L2" s="35" t="s">
        <v>117</v>
      </c>
      <c r="M2" s="26" t="s">
        <v>118</v>
      </c>
      <c r="N2" s="12"/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H3" s="7">
        <f>COUNTBLANK(D2:D35)</f>
        <v>3</v>
      </c>
      <c r="I3" s="24" t="s">
        <v>98</v>
      </c>
      <c r="J3" s="2"/>
      <c r="K3" s="13" t="str" cm="1">
        <f t="array" ref="K3:K36">TEXT(D2:D35,"$#,##0.00")</f>
        <v>$1,000.00</v>
      </c>
      <c r="L3" s="15" t="str" cm="1">
        <f t="array" ref="L3:L36">TEXT(A2:A35,"DD-MM-YYYY")</f>
        <v>28-JAN-US</v>
      </c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H4" s="7">
        <f>COUNTBLANK(F2:F35)</f>
        <v>4</v>
      </c>
      <c r="J4" s="4"/>
      <c r="K4" s="14" t="str">
        <v>$80.00</v>
      </c>
      <c r="L4" s="16" t="str">
        <v>15-FEB-US</v>
      </c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H5" s="32" t="s">
        <v>100</v>
      </c>
      <c r="I5" s="10" t="s">
        <v>121</v>
      </c>
      <c r="J5" s="4"/>
      <c r="K5" s="14" t="str">
        <v>$130.00</v>
      </c>
      <c r="L5" s="16" t="str">
        <v>03-MAR-US</v>
      </c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  <c r="H6" s="8" t="str" cm="1">
        <f t="array" ref="H6:H39">PROPER(B2:B35)</f>
        <v>Laptop</v>
      </c>
      <c r="I6" s="22" t="s">
        <v>101</v>
      </c>
      <c r="K6" s="7" t="str">
        <v>$900.00</v>
      </c>
      <c r="L6" s="11" t="str">
        <v>11-APR-US</v>
      </c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  <c r="H7" s="9" t="str">
        <v>Sneakers</v>
      </c>
      <c r="K7" s="7" t="str">
        <v>$70.00</v>
      </c>
      <c r="L7" s="11" t="str">
        <v>22-MAY-US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H8" s="9" t="str">
        <v>Coffee Maker</v>
      </c>
      <c r="I8" s="33" t="s">
        <v>102</v>
      </c>
      <c r="J8" s="12" t="s">
        <v>103</v>
      </c>
      <c r="K8" s="7" t="str">
        <v>$0.00</v>
      </c>
      <c r="L8" s="11" t="str">
        <v>07-JUN-UK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H9" s="8" t="str">
        <v>Smartphone</v>
      </c>
      <c r="I9" s="11" t="str" cm="1">
        <f t="array" ref="I9:I42">IF(F2:F35="Electroni","Electronics",F2:F35)</f>
        <v>Electronics</v>
      </c>
      <c r="K9" s="7" t="str">
        <v>$30.00</v>
      </c>
      <c r="L9" s="11" t="str">
        <v>19-JUL-UK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H10" s="9" t="str">
        <v>Backpack</v>
      </c>
      <c r="I10" s="11" t="str">
        <v>Fashion</v>
      </c>
      <c r="K10" s="7" t="str">
        <v>$90.00</v>
      </c>
      <c r="L10" s="11" t="str">
        <v>23-AUG-UK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  <c r="H11" s="9" t="str">
        <v>Headphones</v>
      </c>
      <c r="I11" s="11" t="str">
        <v>Kitchen</v>
      </c>
      <c r="J11" s="5"/>
      <c r="K11" s="7" t="str">
        <v>$500.00</v>
      </c>
      <c r="L11" s="11" t="str">
        <v>05-SEP-UK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  <c r="H12" s="9" t="str">
        <v>T-Shirt</v>
      </c>
      <c r="I12" s="11" t="str">
        <v>Electronics</v>
      </c>
      <c r="K12" s="7" t="str">
        <v>$130.00</v>
      </c>
      <c r="L12" s="11" t="str">
        <v>14-OCT-UK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  <c r="H13" s="9" t="str">
        <v>Blender</v>
      </c>
      <c r="I13" s="11">
        <v>0</v>
      </c>
      <c r="K13" s="7" t="str">
        <v>$950.00</v>
      </c>
      <c r="L13" s="11" t="str">
        <v>17-JUN-IN</v>
      </c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  <c r="H14" s="9" t="str">
        <v>Tablet</v>
      </c>
      <c r="I14" s="11" t="str">
        <v>Electronics</v>
      </c>
      <c r="K14" s="7" t="str">
        <v>$90.00</v>
      </c>
      <c r="L14" s="11" t="str">
        <v>25-NOV-AU</v>
      </c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  <c r="H15" s="9" t="str">
        <v>Hiking Boots</v>
      </c>
      <c r="I15" s="11" t="str">
        <v>Fashion</v>
      </c>
      <c r="K15" s="7" t="str">
        <v>$120.00</v>
      </c>
      <c r="L15" s="11" t="str">
        <v>08-DEC-DE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  <c r="H16" s="9" t="str">
        <v>Laptop</v>
      </c>
      <c r="I16" s="11" t="str">
        <v>Kitchen</v>
      </c>
      <c r="K16" s="7" t="str">
        <v>$150.00</v>
      </c>
      <c r="L16" s="11" t="str">
        <v>18-FEB-CA</v>
      </c>
    </row>
    <row r="17" spans="1:12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  <c r="H17" s="9" t="str">
        <v>Sneakers</v>
      </c>
      <c r="I17" s="11" t="str">
        <v>Electronics</v>
      </c>
      <c r="K17" s="7" t="str">
        <v>$250.00</v>
      </c>
      <c r="L17" s="11" t="str">
        <v>16-APR-ES</v>
      </c>
    </row>
    <row r="18" spans="1:12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  <c r="H18" s="9" t="str">
        <v>Coffee Maker</v>
      </c>
      <c r="I18" s="11" t="str">
        <v>Outdoor</v>
      </c>
      <c r="K18" s="7" t="str">
        <v>$50.00</v>
      </c>
      <c r="L18" s="11" t="str">
        <v>21-AUG-CA</v>
      </c>
    </row>
    <row r="19" spans="1:12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  <c r="H19" s="9" t="str">
        <v>Smartwatch</v>
      </c>
      <c r="I19" s="11" t="str">
        <v>Electronics</v>
      </c>
      <c r="K19" s="7" t="str">
        <v>$160.00</v>
      </c>
      <c r="L19" s="11" t="str">
        <v>20-AUG-CN</v>
      </c>
    </row>
    <row r="20" spans="1:12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  <c r="H20" s="9" t="str">
        <v>Headphones</v>
      </c>
      <c r="I20" s="11">
        <v>0</v>
      </c>
      <c r="K20" s="7" t="str">
        <v>$980.00</v>
      </c>
      <c r="L20" s="11" t="str">
        <v>27-JAN-IT</v>
      </c>
    </row>
    <row r="21" spans="1:12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  <c r="H21" s="9" t="str">
        <v>Laptop Bag</v>
      </c>
      <c r="I21" s="11">
        <v>0</v>
      </c>
      <c r="K21" s="7" t="str">
        <v>$150.00</v>
      </c>
      <c r="L21" s="11" t="str">
        <v>01-MAR-UK</v>
      </c>
    </row>
    <row r="22" spans="1:12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  <c r="H22" s="9" t="str">
        <v>Smartwatch</v>
      </c>
      <c r="I22" s="11" t="str">
        <v>Electronics</v>
      </c>
      <c r="K22" s="7" t="str">
        <v>$0.00</v>
      </c>
      <c r="L22" s="11" t="str">
        <v>14-AUG-US</v>
      </c>
    </row>
    <row r="23" spans="1:12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  <c r="H23" s="9" t="str">
        <v>Laptop</v>
      </c>
      <c r="I23" s="11" t="str">
        <v>Electronics</v>
      </c>
      <c r="K23" s="7" t="str">
        <v>$700.00</v>
      </c>
      <c r="L23" s="11" t="str">
        <v>14-MAY-RU</v>
      </c>
    </row>
    <row r="24" spans="1:12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  <c r="H24" s="9" t="str">
        <v>Sunglasses</v>
      </c>
      <c r="I24" s="11" t="str">
        <v>Accessories</v>
      </c>
      <c r="K24" s="7" t="str">
        <v>$80.00</v>
      </c>
      <c r="L24" s="11" t="str">
        <v>09-JAN-CA</v>
      </c>
    </row>
    <row r="25" spans="1:12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  <c r="H25" s="9" t="str">
        <v>Camping Tent</v>
      </c>
      <c r="I25" s="11" t="str">
        <v>Electronics</v>
      </c>
      <c r="K25" s="7" t="str">
        <v>$150.00</v>
      </c>
      <c r="L25" s="11" t="str">
        <v>19-JUL-BR</v>
      </c>
    </row>
    <row r="26" spans="1:12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  <c r="H26" s="9" t="str">
        <v>Camera</v>
      </c>
      <c r="I26" s="11" t="str">
        <v>Electronics</v>
      </c>
      <c r="K26" s="7" t="str">
        <v>$50.00</v>
      </c>
      <c r="L26" s="11" t="str">
        <v>21-AUG-CA</v>
      </c>
    </row>
    <row r="27" spans="1:12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  <c r="H27" s="9" t="str">
        <v>Microwave</v>
      </c>
      <c r="I27" s="11" t="str">
        <v>Fashion</v>
      </c>
      <c r="K27" s="7" t="str">
        <v>$800.00</v>
      </c>
      <c r="L27" s="11" t="str">
        <v>29-SEP-CA</v>
      </c>
    </row>
    <row r="28" spans="1:12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  <c r="H28" s="9" t="str">
        <v>Fitness Tracker</v>
      </c>
      <c r="I28" s="11" t="str">
        <v>Outdoor</v>
      </c>
      <c r="K28" s="7" t="str">
        <v>$0.00</v>
      </c>
      <c r="L28" s="11" t="str">
        <v>03-JUN-CA</v>
      </c>
    </row>
    <row r="29" spans="1:12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  <c r="H29" s="9" t="str">
        <v>Laptop Bag</v>
      </c>
      <c r="I29" s="11" t="str">
        <v>Electronics</v>
      </c>
      <c r="K29" s="7" t="str">
        <v>$400.00</v>
      </c>
      <c r="L29" s="11" t="str">
        <v>11-JUL-CA</v>
      </c>
    </row>
    <row r="30" spans="1:12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  <c r="H30" s="9" t="str">
        <v>Smartphone</v>
      </c>
      <c r="I30" s="11" t="str">
        <v>Kitchen</v>
      </c>
      <c r="K30" s="7" t="str">
        <v>$250.00</v>
      </c>
      <c r="L30" s="11" t="str">
        <v>16-APR-ES</v>
      </c>
    </row>
    <row r="31" spans="1:12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  <c r="H31" s="9" t="str">
        <v>Sunglasses</v>
      </c>
      <c r="I31" s="11">
        <v>0</v>
      </c>
      <c r="K31" s="7" t="str">
        <v>$60.00</v>
      </c>
      <c r="L31" s="11" t="str">
        <v>07-MAR-CA</v>
      </c>
    </row>
    <row r="32" spans="1:12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  <c r="H32" s="9" t="str">
        <v>Blender</v>
      </c>
      <c r="I32" s="11" t="str">
        <v>Accessories</v>
      </c>
      <c r="K32" s="7" t="str">
        <v>$40.00</v>
      </c>
      <c r="L32" s="11" t="str">
        <v>13-APR-CA</v>
      </c>
    </row>
    <row r="33" spans="1:12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  <c r="H33" s="9" t="str">
        <v>Headphones</v>
      </c>
      <c r="I33" s="11" t="str">
        <v>Electronics</v>
      </c>
      <c r="K33" s="7" t="str">
        <v>$130.00</v>
      </c>
      <c r="L33" s="11" t="str">
        <v>24-MAY-CA</v>
      </c>
    </row>
    <row r="34" spans="1:12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  <c r="H34" s="9" t="str">
        <v>Dress</v>
      </c>
      <c r="I34" s="11" t="str">
        <v>Fashion</v>
      </c>
      <c r="K34" s="7" t="str">
        <v>$50.00</v>
      </c>
      <c r="L34" s="11" t="str">
        <v>02-DEC-CA</v>
      </c>
    </row>
    <row r="35" spans="1:12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  <c r="H35" s="9" t="str">
        <v>Toaster</v>
      </c>
      <c r="I35" s="11" t="str">
        <v>Kitchen</v>
      </c>
      <c r="K35" s="7" t="str">
        <v>$950.00</v>
      </c>
      <c r="L35" s="11" t="str">
        <v>17-JUN-IN</v>
      </c>
    </row>
    <row r="36" spans="1:12" ht="15.75" customHeight="1">
      <c r="H36" s="9" t="str">
        <v>Fitness Tracker</v>
      </c>
      <c r="I36" s="11" t="str">
        <v>Electronics</v>
      </c>
      <c r="K36" s="7" t="str">
        <v>$100.00</v>
      </c>
      <c r="L36" s="11" t="str">
        <v>09-JUL-FR</v>
      </c>
    </row>
    <row r="37" spans="1:12" ht="15.75" customHeight="1">
      <c r="B37" s="35" t="s">
        <v>104</v>
      </c>
      <c r="C37" s="35"/>
      <c r="H37" s="9" t="str">
        <v>Jeans</v>
      </c>
      <c r="I37" s="11" t="str">
        <v>Fashion</v>
      </c>
    </row>
    <row r="38" spans="1:12" ht="15.75" customHeight="1">
      <c r="B38" s="17">
        <f>COUNTIFS(A:A,A2,B:B,B2,C:C,C2,D:D,D2,E:E,E2,F:F,F2)</f>
        <v>1</v>
      </c>
      <c r="C38" s="26" t="s">
        <v>105</v>
      </c>
      <c r="D38" s="26"/>
      <c r="E38" s="26"/>
      <c r="F38" s="26"/>
      <c r="G38" s="12"/>
      <c r="H38" s="9" t="str">
        <v>Laptop</v>
      </c>
      <c r="I38" s="11" t="str">
        <v>Kitchen</v>
      </c>
    </row>
    <row r="39" spans="1:12" ht="15.75" customHeight="1">
      <c r="B39" s="34" t="s">
        <v>106</v>
      </c>
      <c r="C39" s="34"/>
      <c r="H39" s="9" t="str">
        <v>Watch</v>
      </c>
      <c r="I39" s="11" t="str">
        <v>Electronics</v>
      </c>
    </row>
    <row r="40" spans="1:12" ht="15.75" customHeight="1">
      <c r="B40" s="18" t="s">
        <v>107</v>
      </c>
      <c r="C40" s="6"/>
      <c r="D40" s="36" t="s">
        <v>109</v>
      </c>
      <c r="E40" s="36"/>
      <c r="F40" s="20"/>
      <c r="I40" s="11" t="str">
        <v>Fashion</v>
      </c>
    </row>
    <row r="41" spans="1:12" ht="15.75" customHeight="1">
      <c r="B41" s="19" t="str" cm="1">
        <f t="array" ref="B41:B74">LEFT(A2:A35)</f>
        <v>2</v>
      </c>
      <c r="C41" s="27" t="s">
        <v>108</v>
      </c>
      <c r="D41" s="21" t="str" cm="1">
        <f t="array" ref="D41:D74">MID(A2:A35,4,3)</f>
        <v>JAN</v>
      </c>
      <c r="E41" s="28" t="s">
        <v>110</v>
      </c>
      <c r="F41" s="29"/>
      <c r="I41" s="11" t="str">
        <v>Electronics</v>
      </c>
    </row>
    <row r="42" spans="1:12" ht="15.75" customHeight="1">
      <c r="B42" s="7" t="str">
        <v>1</v>
      </c>
      <c r="C42" s="6"/>
      <c r="D42" s="21" t="str">
        <v>FEB</v>
      </c>
      <c r="E42" s="20"/>
      <c r="F42" s="31" t="s">
        <v>111</v>
      </c>
      <c r="G42" s="10"/>
      <c r="I42" s="11" t="str">
        <v>Accessories</v>
      </c>
    </row>
    <row r="43" spans="1:12" ht="15.75" customHeight="1">
      <c r="B43" s="7" t="str">
        <v>0</v>
      </c>
      <c r="C43" s="6"/>
      <c r="D43" s="21" t="str">
        <v>MAR</v>
      </c>
      <c r="E43" s="20"/>
      <c r="F43" s="9" t="str" cm="1">
        <f t="array" ref="F43:F76">RIGHT(A2:A35,2)</f>
        <v>US</v>
      </c>
      <c r="G43" s="22" t="s">
        <v>112</v>
      </c>
      <c r="H43" s="22"/>
    </row>
    <row r="44" spans="1:12" ht="15.75" customHeight="1">
      <c r="B44" s="7" t="str">
        <v>1</v>
      </c>
      <c r="C44" s="6"/>
      <c r="D44" s="21" t="str">
        <v>APR</v>
      </c>
      <c r="E44" s="20"/>
      <c r="F44" s="9" t="str">
        <v>US</v>
      </c>
      <c r="G44" s="10"/>
      <c r="H44" s="35" t="s">
        <v>113</v>
      </c>
      <c r="I44" s="35"/>
      <c r="J44" s="37" t="s">
        <v>119</v>
      </c>
      <c r="K44" s="6"/>
    </row>
    <row r="45" spans="1:12" ht="15.75" customHeight="1">
      <c r="B45" s="7" t="str">
        <v>2</v>
      </c>
      <c r="C45" s="6"/>
      <c r="D45" s="21" t="str">
        <v>MAY</v>
      </c>
      <c r="E45" s="20"/>
      <c r="F45" s="9" t="str">
        <v>US</v>
      </c>
      <c r="G45" s="10"/>
      <c r="H45" s="11" t="str" cm="1">
        <f t="array" ref="H45:H78">C2:C35&amp;" "&amp;B2:B35</f>
        <v>Dell laptop</v>
      </c>
      <c r="I45" s="26" t="s">
        <v>114</v>
      </c>
      <c r="J45" s="6" t="b" cm="1">
        <f t="array" ref="J45:J78">F2:F35="Electronics"</f>
        <v>1</v>
      </c>
      <c r="K45" s="27" t="s">
        <v>120</v>
      </c>
    </row>
    <row r="46" spans="1:12" ht="15.75" customHeight="1">
      <c r="B46" s="7" t="str">
        <v>0</v>
      </c>
      <c r="C46" s="6"/>
      <c r="D46" s="21" t="str">
        <v>JUN</v>
      </c>
      <c r="E46" s="20"/>
      <c r="F46" s="9" t="str">
        <v>US</v>
      </c>
      <c r="G46" s="10"/>
      <c r="H46" s="11" t="str">
        <v>Nike Sneakers</v>
      </c>
      <c r="I46" s="12"/>
      <c r="J46" s="6" t="b">
        <v>0</v>
      </c>
      <c r="K46" s="6"/>
    </row>
    <row r="47" spans="1:12" ht="15.75" customHeight="1">
      <c r="B47" s="7" t="str">
        <v>1</v>
      </c>
      <c r="C47" s="6"/>
      <c r="D47" s="21" t="str">
        <v>JUL</v>
      </c>
      <c r="E47" s="20"/>
      <c r="F47" s="9" t="str">
        <v>US</v>
      </c>
      <c r="G47" s="10"/>
      <c r="H47" s="11" t="str">
        <v>Keurig Coffee Maker</v>
      </c>
      <c r="I47" s="12"/>
      <c r="J47" s="6" t="b">
        <v>0</v>
      </c>
      <c r="K47" s="6"/>
    </row>
    <row r="48" spans="1:12" ht="15.75" customHeight="1">
      <c r="B48" s="7" t="str">
        <v>2</v>
      </c>
      <c r="C48" s="6"/>
      <c r="D48" s="21" t="str">
        <v>AUG</v>
      </c>
      <c r="E48" s="20"/>
      <c r="F48" s="9" t="str">
        <v>UK</v>
      </c>
      <c r="G48" s="10"/>
      <c r="H48" s="11" t="str">
        <v>Samsung smartphone</v>
      </c>
      <c r="I48" s="12"/>
      <c r="J48" s="6" t="b">
        <v>1</v>
      </c>
      <c r="K48" s="6"/>
    </row>
    <row r="49" spans="2:11" ht="15.75" customHeight="1">
      <c r="B49" s="7" t="str">
        <v>0</v>
      </c>
      <c r="C49" s="6"/>
      <c r="D49" s="21" t="str">
        <v>SEP</v>
      </c>
      <c r="E49" s="20"/>
      <c r="F49" s="9" t="str">
        <v>UK</v>
      </c>
      <c r="G49" s="10"/>
      <c r="H49" s="11" t="str">
        <v>North Face Backpack</v>
      </c>
      <c r="I49" s="12"/>
      <c r="J49" s="6" t="b">
        <v>0</v>
      </c>
      <c r="K49" s="6"/>
    </row>
    <row r="50" spans="2:11" ht="15.75" customHeight="1">
      <c r="B50" s="7" t="str">
        <v>1</v>
      </c>
      <c r="C50" s="6"/>
      <c r="D50" s="21" t="str">
        <v>OCT</v>
      </c>
      <c r="E50" s="20"/>
      <c r="F50" s="9" t="str">
        <v>UK</v>
      </c>
      <c r="G50" s="10"/>
      <c r="H50" s="11" t="str">
        <v>Sony Headphones</v>
      </c>
      <c r="I50" s="12"/>
      <c r="J50" s="6" t="b">
        <v>0</v>
      </c>
      <c r="K50" s="6"/>
    </row>
    <row r="51" spans="2:11" ht="15.75" customHeight="1">
      <c r="B51" s="7" t="str">
        <v>1</v>
      </c>
      <c r="C51" s="6"/>
      <c r="D51" s="21" t="str">
        <v>JUN</v>
      </c>
      <c r="E51" s="20"/>
      <c r="F51" s="9" t="str">
        <v>UK</v>
      </c>
      <c r="G51" s="10"/>
      <c r="H51" s="11" t="str">
        <v>Adidas T-shirt</v>
      </c>
      <c r="I51" s="12"/>
      <c r="J51" s="6" t="b">
        <v>0</v>
      </c>
      <c r="K51" s="6"/>
    </row>
    <row r="52" spans="2:11" ht="15.75" customHeight="1">
      <c r="B52" s="7" t="str">
        <v>2</v>
      </c>
      <c r="C52" s="6"/>
      <c r="D52" s="21" t="str">
        <v>NOV</v>
      </c>
      <c r="E52" s="20"/>
      <c r="F52" s="9" t="str">
        <v>UK</v>
      </c>
      <c r="G52" s="10"/>
      <c r="H52" s="11" t="str">
        <v>Ninja Blender</v>
      </c>
      <c r="I52" s="12"/>
      <c r="J52" s="6" t="b">
        <v>0</v>
      </c>
      <c r="K52" s="6"/>
    </row>
    <row r="53" spans="2:11" ht="15.75" customHeight="1">
      <c r="B53" s="7" t="str">
        <v>0</v>
      </c>
      <c r="C53" s="6"/>
      <c r="D53" s="21" t="str">
        <v>DEC</v>
      </c>
      <c r="E53" s="20"/>
      <c r="F53" s="9" t="str">
        <v>IN</v>
      </c>
      <c r="G53" s="10"/>
      <c r="H53" s="11" t="str">
        <v>Apple Tablet</v>
      </c>
      <c r="I53" s="12"/>
      <c r="J53" s="6" t="b">
        <v>1</v>
      </c>
      <c r="K53" s="6"/>
    </row>
    <row r="54" spans="2:11" ht="15.75" customHeight="1">
      <c r="B54" s="7" t="str">
        <v>1</v>
      </c>
      <c r="C54" s="6"/>
      <c r="D54" s="21" t="str">
        <v>FEB</v>
      </c>
      <c r="E54" s="20"/>
      <c r="F54" s="9" t="str">
        <v>AU</v>
      </c>
      <c r="G54" s="10"/>
      <c r="H54" s="11" t="str">
        <v>Timberland Hiking Boots</v>
      </c>
      <c r="I54" s="12"/>
      <c r="J54" s="6" t="b">
        <v>0</v>
      </c>
      <c r="K54" s="6"/>
    </row>
    <row r="55" spans="2:11" ht="15.75" customHeight="1">
      <c r="B55" s="7" t="str">
        <v>1</v>
      </c>
      <c r="C55" s="6"/>
      <c r="D55" s="21" t="str">
        <v>APR</v>
      </c>
      <c r="E55" s="20"/>
      <c r="F55" s="9" t="str">
        <v>DE</v>
      </c>
      <c r="G55" s="10"/>
      <c r="H55" s="11" t="str">
        <v>HP Laptop</v>
      </c>
      <c r="I55" s="12"/>
      <c r="J55" s="6" t="b">
        <v>1</v>
      </c>
      <c r="K55" s="6"/>
    </row>
    <row r="56" spans="2:11" ht="15.75" customHeight="1">
      <c r="B56" s="7" t="str">
        <v>2</v>
      </c>
      <c r="C56" s="6"/>
      <c r="D56" s="21" t="str">
        <v>AUG</v>
      </c>
      <c r="E56" s="20"/>
      <c r="F56" s="9" t="str">
        <v>CA</v>
      </c>
      <c r="G56" s="10"/>
      <c r="H56" s="11" t="str">
        <v>Adidas Sneakers</v>
      </c>
      <c r="I56" s="12"/>
      <c r="J56" s="6" t="b">
        <v>0</v>
      </c>
      <c r="K56" s="6"/>
    </row>
    <row r="57" spans="2:11" ht="15.75" customHeight="1">
      <c r="B57" s="7" t="str">
        <v>2</v>
      </c>
      <c r="C57" s="6"/>
      <c r="D57" s="21" t="str">
        <v>AUG</v>
      </c>
      <c r="E57" s="20"/>
      <c r="F57" s="9" t="str">
        <v>ES</v>
      </c>
      <c r="G57" s="10"/>
      <c r="H57" s="11" t="str">
        <v>Nespresso Coffee Maker</v>
      </c>
      <c r="I57" s="12"/>
      <c r="J57" s="6" t="b">
        <v>0</v>
      </c>
      <c r="K57" s="6"/>
    </row>
    <row r="58" spans="2:11" ht="15.75" customHeight="1">
      <c r="B58" s="7" t="str">
        <v>2</v>
      </c>
      <c r="C58" s="6"/>
      <c r="D58" s="21" t="str">
        <v>JAN</v>
      </c>
      <c r="E58" s="20"/>
      <c r="F58" s="9" t="str">
        <v>CA</v>
      </c>
      <c r="G58" s="10"/>
      <c r="H58" s="11" t="str">
        <v>Fitbit Smartwatch</v>
      </c>
      <c r="I58" s="12"/>
      <c r="J58" s="6" t="b">
        <v>0</v>
      </c>
      <c r="K58" s="6"/>
    </row>
    <row r="59" spans="2:11" ht="15.75" customHeight="1">
      <c r="B59" s="7" t="str">
        <v>0</v>
      </c>
      <c r="C59" s="6"/>
      <c r="D59" s="21" t="str">
        <v>MAR</v>
      </c>
      <c r="E59" s="20"/>
      <c r="F59" s="9" t="str">
        <v>CN</v>
      </c>
      <c r="G59" s="10"/>
      <c r="H59" s="11" t="str">
        <v>Bose headphones</v>
      </c>
      <c r="I59" s="12"/>
      <c r="J59" s="6" t="b">
        <v>0</v>
      </c>
      <c r="K59" s="6"/>
    </row>
    <row r="60" spans="2:11" ht="15.75" customHeight="1">
      <c r="B60" s="7" t="str">
        <v>1</v>
      </c>
      <c r="C60" s="6"/>
      <c r="D60" s="21" t="str">
        <v>AUG</v>
      </c>
      <c r="E60" s="20"/>
      <c r="F60" s="9" t="str">
        <v>IT</v>
      </c>
      <c r="G60" s="10"/>
      <c r="H60" s="11" t="str">
        <v>Samsonite Laptop Bag</v>
      </c>
      <c r="I60" s="12"/>
      <c r="J60" s="6" t="b">
        <v>0</v>
      </c>
      <c r="K60" s="6"/>
    </row>
    <row r="61" spans="2:11" ht="15.75" customHeight="1">
      <c r="B61" s="7" t="str">
        <v>1</v>
      </c>
      <c r="C61" s="6"/>
      <c r="D61" s="21" t="str">
        <v>MAY</v>
      </c>
      <c r="E61" s="20"/>
      <c r="F61" s="9" t="str">
        <v>UK</v>
      </c>
      <c r="G61" s="10"/>
      <c r="H61" s="11" t="str">
        <v>Huawei Smartwatch</v>
      </c>
      <c r="I61" s="12"/>
      <c r="J61" s="6" t="b">
        <v>0</v>
      </c>
      <c r="K61" s="6"/>
    </row>
    <row r="62" spans="2:11" ht="15.75" customHeight="1">
      <c r="B62" s="7" t="str">
        <v>0</v>
      </c>
      <c r="C62" s="6"/>
      <c r="D62" s="21" t="str">
        <v>JAN</v>
      </c>
      <c r="E62" s="20"/>
      <c r="F62" s="9" t="str">
        <v>US</v>
      </c>
      <c r="G62" s="10"/>
      <c r="H62" s="11" t="str">
        <v>Asus laptop</v>
      </c>
      <c r="I62" s="12"/>
      <c r="J62" s="6" t="b">
        <v>1</v>
      </c>
      <c r="K62" s="6"/>
    </row>
    <row r="63" spans="2:11" ht="15.75" customHeight="1">
      <c r="B63" s="7" t="str">
        <v>1</v>
      </c>
      <c r="C63" s="6"/>
      <c r="D63" s="21" t="str">
        <v>JUL</v>
      </c>
      <c r="E63" s="20"/>
      <c r="F63" s="9" t="str">
        <v>RU</v>
      </c>
      <c r="G63" s="10"/>
      <c r="H63" s="11" t="str">
        <v>Oakley Sunglasses</v>
      </c>
      <c r="I63" s="12"/>
      <c r="J63" s="6" t="b">
        <v>0</v>
      </c>
      <c r="K63" s="6"/>
    </row>
    <row r="64" spans="2:11" ht="15.75" customHeight="1">
      <c r="B64" s="7" t="str">
        <v>2</v>
      </c>
      <c r="C64" s="6"/>
      <c r="D64" s="21" t="str">
        <v>AUG</v>
      </c>
      <c r="E64" s="20"/>
      <c r="F64" s="9" t="str">
        <v>CA</v>
      </c>
      <c r="G64" s="10"/>
      <c r="H64" s="11" t="str">
        <v>Coleman Camping Tent</v>
      </c>
      <c r="I64" s="12"/>
      <c r="J64" s="6" t="b">
        <v>0</v>
      </c>
      <c r="K64" s="6"/>
    </row>
    <row r="65" spans="2:11" ht="15.75" customHeight="1">
      <c r="B65" s="7" t="str">
        <v>2</v>
      </c>
      <c r="C65" s="6"/>
      <c r="D65" s="21" t="str">
        <v>SEP</v>
      </c>
      <c r="E65" s="20"/>
      <c r="F65" s="9" t="str">
        <v>BR</v>
      </c>
      <c r="G65" s="10"/>
      <c r="H65" s="11" t="str">
        <v>Nikon Camera</v>
      </c>
      <c r="I65" s="12"/>
      <c r="J65" s="6" t="b">
        <v>1</v>
      </c>
      <c r="K65" s="6"/>
    </row>
    <row r="66" spans="2:11" ht="15.75" customHeight="1">
      <c r="B66" s="7" t="str">
        <v>0</v>
      </c>
      <c r="C66" s="6"/>
      <c r="D66" s="21" t="str">
        <v>JUN</v>
      </c>
      <c r="E66" s="20"/>
      <c r="F66" s="9" t="str">
        <v>CA</v>
      </c>
      <c r="G66" s="10"/>
      <c r="H66" s="11" t="str">
        <v>Panasonic Microwave</v>
      </c>
      <c r="I66" s="12"/>
      <c r="J66" s="6" t="b">
        <v>0</v>
      </c>
      <c r="K66" s="6"/>
    </row>
    <row r="67" spans="2:11" ht="15.75" customHeight="1">
      <c r="B67" s="7" t="str">
        <v>1</v>
      </c>
      <c r="C67" s="6"/>
      <c r="D67" s="21" t="str">
        <v>JUL</v>
      </c>
      <c r="E67" s="20"/>
      <c r="F67" s="9" t="str">
        <v>CA</v>
      </c>
      <c r="G67" s="10"/>
      <c r="H67" s="11" t="str">
        <v>Xiaomi Fitness Tracker</v>
      </c>
      <c r="I67" s="12"/>
      <c r="J67" s="6" t="b">
        <v>0</v>
      </c>
      <c r="K67" s="6"/>
    </row>
    <row r="68" spans="2:11" ht="15.75" customHeight="1">
      <c r="B68" s="7" t="str">
        <v>1</v>
      </c>
      <c r="C68" s="6"/>
      <c r="D68" s="21" t="str">
        <v>APR</v>
      </c>
      <c r="E68" s="20"/>
      <c r="F68" s="9" t="str">
        <v>CA</v>
      </c>
      <c r="G68" s="10"/>
      <c r="H68" s="11" t="str">
        <v>Samsonite Laptop Bag</v>
      </c>
      <c r="I68" s="12"/>
      <c r="J68" s="6" t="b">
        <v>0</v>
      </c>
      <c r="K68" s="6"/>
    </row>
    <row r="69" spans="2:11" ht="15.75" customHeight="1">
      <c r="B69" s="7" t="str">
        <v>0</v>
      </c>
      <c r="C69" s="6"/>
      <c r="D69" s="21" t="str">
        <v>MAR</v>
      </c>
      <c r="E69" s="20"/>
      <c r="F69" s="9" t="str">
        <v>CA</v>
      </c>
      <c r="G69" s="10"/>
      <c r="H69" s="11" t="str">
        <v>Google Smartphone</v>
      </c>
      <c r="I69" s="12"/>
      <c r="J69" s="6" t="b">
        <v>1</v>
      </c>
      <c r="K69" s="6"/>
    </row>
    <row r="70" spans="2:11" ht="15.75" customHeight="1">
      <c r="B70" s="7" t="str">
        <v>1</v>
      </c>
      <c r="C70" s="6"/>
      <c r="D70" s="21" t="str">
        <v>APR</v>
      </c>
      <c r="E70" s="20"/>
      <c r="F70" s="9" t="str">
        <v>ES</v>
      </c>
      <c r="G70" s="10"/>
      <c r="H70" s="11" t="str">
        <v>Ray-Ban Sunglasses</v>
      </c>
      <c r="I70" s="12"/>
      <c r="J70" s="6" t="b">
        <v>0</v>
      </c>
      <c r="K70" s="6"/>
    </row>
    <row r="71" spans="2:11" ht="15.75" customHeight="1">
      <c r="B71" s="7" t="str">
        <v>2</v>
      </c>
      <c r="C71" s="6"/>
      <c r="D71" s="21" t="str">
        <v>MAY</v>
      </c>
      <c r="E71" s="20"/>
      <c r="F71" s="9" t="str">
        <v>CA</v>
      </c>
      <c r="G71" s="10"/>
      <c r="H71" s="11" t="str">
        <v>Vitamix Blender</v>
      </c>
      <c r="I71" s="12"/>
      <c r="J71" s="6" t="b">
        <v>0</v>
      </c>
      <c r="K71" s="6"/>
    </row>
    <row r="72" spans="2:11" ht="15.75" customHeight="1">
      <c r="B72" s="7" t="str">
        <v>0</v>
      </c>
      <c r="C72" s="6"/>
      <c r="D72" s="21" t="str">
        <v>DEC</v>
      </c>
      <c r="E72" s="20"/>
      <c r="F72" s="9" t="str">
        <v>CA</v>
      </c>
      <c r="G72" s="10"/>
      <c r="H72" s="11" t="str">
        <v>Bose headphones</v>
      </c>
      <c r="I72" s="12"/>
      <c r="J72" s="6" t="b">
        <v>0</v>
      </c>
      <c r="K72" s="6"/>
    </row>
    <row r="73" spans="2:11" ht="15.75" customHeight="1">
      <c r="B73" s="7" t="str">
        <v>1</v>
      </c>
      <c r="C73" s="6"/>
      <c r="D73" s="21" t="str">
        <v>JUN</v>
      </c>
      <c r="E73" s="20"/>
      <c r="F73" s="9" t="str">
        <v>CA</v>
      </c>
      <c r="G73" s="10"/>
      <c r="H73" s="11" t="str">
        <v>Zara Dress</v>
      </c>
      <c r="I73" s="12"/>
      <c r="J73" s="6" t="b">
        <v>0</v>
      </c>
      <c r="K73" s="6"/>
    </row>
    <row r="74" spans="2:11" ht="15.75" customHeight="1">
      <c r="B74" s="7" t="str">
        <v>0</v>
      </c>
      <c r="C74" s="6"/>
      <c r="D74" s="21" t="str">
        <v>JUL</v>
      </c>
      <c r="E74" s="20"/>
      <c r="F74" s="9" t="str">
        <v>CA</v>
      </c>
      <c r="G74" s="10"/>
      <c r="H74" s="11" t="str">
        <v>Hamilton Toaster</v>
      </c>
      <c r="I74" s="12"/>
      <c r="J74" s="6" t="b">
        <v>0</v>
      </c>
      <c r="K74" s="6"/>
    </row>
    <row r="75" spans="2:11" ht="15.75" customHeight="1">
      <c r="F75" s="9" t="str">
        <v>IN</v>
      </c>
      <c r="G75" s="10"/>
      <c r="H75" s="11" t="str">
        <v>Garmin Fitness Tracker</v>
      </c>
      <c r="I75" s="12"/>
      <c r="J75" s="6" t="b">
        <v>1</v>
      </c>
      <c r="K75" s="6"/>
    </row>
    <row r="76" spans="2:11" ht="15.75" customHeight="1">
      <c r="F76" s="9" t="str">
        <v>FR</v>
      </c>
      <c r="G76" s="10"/>
      <c r="H76" s="11" t="str">
        <v>Levi's Jeans</v>
      </c>
      <c r="I76" s="12"/>
      <c r="J76" s="6" t="b">
        <v>0</v>
      </c>
      <c r="K76" s="6"/>
    </row>
    <row r="77" spans="2:11" ht="15.75" customHeight="1">
      <c r="H77" s="11" t="str">
        <v>HP Laptop</v>
      </c>
      <c r="I77" s="12"/>
      <c r="J77" s="6" t="b">
        <v>1</v>
      </c>
      <c r="K77" s="6"/>
    </row>
    <row r="78" spans="2:11" ht="15.75" customHeight="1">
      <c r="H78" s="11" t="str">
        <v>Casio Watch</v>
      </c>
      <c r="I78" s="12"/>
      <c r="J78" s="6" t="b">
        <v>0</v>
      </c>
      <c r="K78" s="6"/>
    </row>
    <row r="79" spans="2:11" ht="15.75" customHeight="1"/>
    <row r="80" spans="2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JEEVABHARATHI V</cp:lastModifiedBy>
  <dcterms:created xsi:type="dcterms:W3CDTF">2026-07-23T14:43:37Z</dcterms:created>
  <dcterms:modified xsi:type="dcterms:W3CDTF">2026-10-04T18:54:51Z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